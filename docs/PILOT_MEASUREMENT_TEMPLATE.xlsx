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3b8f7671d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표본 입력" sheetId="1" r:id="Rf3e5d65e311f412f"/>
    <x:sheet xmlns:r="http://schemas.openxmlformats.org/officeDocument/2006/relationships" name="집계" sheetId="2" r:id="R8a0a09c68b6e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13">
    <x:font>
      <x:sz val="11"/>
      <x:name val="Carlito"/>
    </x:font>
    <x:font>
      <x:b/>
      <x:sz val="16"/>
      <x:color rgb="FFFFFFFF"/>
      <x:name val="Carlito"/>
    </x:font>
    <x:font>
      <x:sz val="11"/>
      <x:color rgb="FF315A8A"/>
      <x:name val="Carlito"/>
    </x:font>
    <x:font>
      <x:b/>
      <x:sz val="11"/>
      <x:color rgb="FFFFFFFF"/>
      <x:name val="Carlito"/>
    </x:font>
    <x:font>
      <x:b/>
      <x:sz val="10"/>
      <x:color rgb="FFFFFFFF"/>
      <x:name val="맑은 고딕"/>
    </x:font>
    <x:font>
      <x:sz val="10"/>
      <x:color rgb="FF315A8A"/>
      <x:name val="맑은 고딕"/>
    </x:font>
    <x:font>
      <x:sz val="10"/>
      <x:name val="맑은 고딕"/>
    </x:font>
    <x:font>
      <x:b/>
      <x:sz val="10"/>
      <x:color rgb="FF315A8A"/>
      <x:name val="맑은 고딕"/>
    </x:font>
    <x:font>
      <x:b/>
      <x:sz val="10"/>
      <x:name val="맑은 고딕"/>
    </x:font>
    <x:font>
      <x:b/>
      <x:sz val="11"/>
      <x:name val="Carlito"/>
    </x:font>
    <x:font>
      <x:b/>
      <x:sz val="11"/>
      <x:color rgb="FFFFFFFF"/>
      <x:name val="맑은 고딕"/>
    </x:font>
    <x:font>
      <x:sz val="11"/>
      <x:name val="맑은 고딕"/>
    </x:font>
    <x:font>
      <x:b/>
      <x:sz val="11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315A8A"/>
      </x:patternFill>
    </x:fill>
    <x:fill>
      <x:patternFill patternType="solid">
        <x:fgColor rgb="FFEAF1F8"/>
      </x:patternFill>
    </x:fill>
    <x:fill>
      <x:patternFill patternType="solid">
        <x:fgColor rgb="FFFFF4CC"/>
      </x:patternFill>
    </x:fill>
    <x:fill>
      <x:patternFill patternType="solid">
        <x:fgColor rgb="FFE8F1FB"/>
      </x:patternFill>
    </x:fill>
  </x:fills>
  <x:borders count="30">
    <x:border/>
    <x:border>
      <x:right style="thin">
        <x:color rgb="FFE7D79F"/>
      </x:right>
      <x:bottom style="thin">
        <x:color rgb="FFE7D79F"/>
      </x:bottom>
    </x:border>
    <x:border>
      <x:left style="thin">
        <x:color rgb="FFE7D79F"/>
      </x:left>
      <x:right style="thin">
        <x:color rgb="FFE7D79F"/>
      </x:right>
      <x:bottom style="thin">
        <x:color rgb="FFE7D79F"/>
      </x:bottom>
    </x:border>
    <x:border>
      <x:left style="thin">
        <x:color rgb="FFE7D79F"/>
      </x:left>
      <x:bottom style="thin">
        <x:color rgb="FFE7D79F"/>
      </x:bottom>
    </x:border>
    <x:border>
      <x:right style="thin">
        <x:color rgb="FFE7D79F"/>
      </x:right>
      <x:top style="thin">
        <x:color rgb="FFE7D79F"/>
      </x:top>
      <x:bottom style="thin">
        <x:color rgb="FFE7D79F"/>
      </x:bottom>
    </x:border>
    <x:border>
      <x:left style="thin">
        <x:color rgb="FFE7D79F"/>
      </x:left>
      <x:right style="thin">
        <x:color rgb="FFE7D79F"/>
      </x:right>
      <x:top style="thin">
        <x:color rgb="FFE7D79F"/>
      </x:top>
      <x:bottom style="thin">
        <x:color rgb="FFE7D79F"/>
      </x:bottom>
    </x:border>
    <x:border>
      <x:left style="thin">
        <x:color rgb="FFE7D79F"/>
      </x:left>
      <x:top style="thin">
        <x:color rgb="FFE7D79F"/>
      </x:top>
      <x:bottom style="thin">
        <x:color rgb="FFE7D79F"/>
      </x:bottom>
    </x:border>
    <x:border>
      <x:right style="thin">
        <x:color rgb="FFE7D79F"/>
      </x:right>
      <x:top style="thin">
        <x:color rgb="FFE7D79F"/>
      </x:top>
    </x:border>
    <x:border>
      <x:left style="thin">
        <x:color rgb="FFE7D79F"/>
      </x:left>
      <x:right style="thin">
        <x:color rgb="FFE7D79F"/>
      </x:right>
      <x:top style="thin">
        <x:color rgb="FFE7D79F"/>
      </x:top>
    </x:border>
    <x:border>
      <x:left style="thin">
        <x:color rgb="FFE7D79F"/>
      </x:left>
      <x:top style="thin">
        <x:color rgb="FFE7D79F"/>
      </x:top>
    </x:border>
    <x:border>
      <x:right style="thin">
        <x:color rgb="FFC9DDF2"/>
      </x:right>
      <x:bottom style="thin">
        <x:color rgb="FFC9DDF2"/>
      </x:bottom>
    </x:border>
    <x:border>
      <x:left style="thin">
        <x:color rgb="FFC9DDF2"/>
      </x:left>
      <x:right style="thin">
        <x:color rgb="FFC9DDF2"/>
      </x:right>
      <x:bottom style="thin">
        <x:color rgb="FFC9DDF2"/>
      </x:bottom>
    </x:border>
    <x:border>
      <x:left style="thin">
        <x:color rgb="FFC9DDF2"/>
      </x:left>
      <x:bottom style="thin">
        <x:color rgb="FFC9DDF2"/>
      </x:bottom>
    </x:border>
    <x:border>
      <x:right style="thin">
        <x:color rgb="FFC9DDF2"/>
      </x:right>
      <x:top style="thin">
        <x:color rgb="FFC9DDF2"/>
      </x:top>
      <x:bottom style="thin">
        <x:color rgb="FFC9DDF2"/>
      </x:bottom>
    </x:border>
    <x:border>
      <x:left style="thin">
        <x:color rgb="FFC9DDF2"/>
      </x:left>
      <x:right style="thin">
        <x:color rgb="FFC9DDF2"/>
      </x:right>
      <x:top style="thin">
        <x:color rgb="FFC9DDF2"/>
      </x:top>
      <x:bottom style="thin">
        <x:color rgb="FFC9DDF2"/>
      </x:bottom>
    </x:border>
    <x:border>
      <x:left style="thin">
        <x:color rgb="FFC9DDF2"/>
      </x:left>
      <x:top style="thin">
        <x:color rgb="FFC9DDF2"/>
      </x:top>
      <x:bottom style="thin">
        <x:color rgb="FFC9DDF2"/>
      </x:bottom>
    </x:border>
    <x:border>
      <x:right style="thin">
        <x:color rgb="FFC9DDF2"/>
      </x:right>
      <x:top style="thin">
        <x:color rgb="FFC9DDF2"/>
      </x:top>
    </x:border>
    <x:border>
      <x:left style="thin">
        <x:color rgb="FFC9DDF2"/>
      </x:left>
      <x:right style="thin">
        <x:color rgb="FFC9DDF2"/>
      </x:right>
      <x:top style="thin">
        <x:color rgb="FFC9DDF2"/>
      </x:top>
    </x:border>
    <x:border>
      <x:left style="thin">
        <x:color rgb="FFC9DDF2"/>
      </x:left>
      <x:top style="thin">
        <x:color rgb="FFC9DDF2"/>
      </x:top>
    </x:border>
    <x:border>
      <x:right style="thin">
        <x:color rgb="FFD4DFEB"/>
      </x:right>
      <x:bottom style="thin">
        <x:color rgb="FFD4DFEB"/>
      </x:bottom>
    </x:border>
    <x:border>
      <x:left style="thin">
        <x:color rgb="FFD4DFEB"/>
      </x:left>
      <x:right style="thin">
        <x:color rgb="FFD4DFEB"/>
      </x:right>
      <x:bottom style="thin">
        <x:color rgb="FFD4DFEB"/>
      </x:bottom>
    </x:border>
    <x:border>
      <x:left style="thin">
        <x:color rgb="FFD4DFEB"/>
      </x:left>
      <x:bottom style="thin">
        <x:color rgb="FFD4DFEB"/>
      </x:bottom>
    </x:border>
    <x:border>
      <x:right style="thin">
        <x:color rgb="FFD4DFEB"/>
      </x:right>
      <x:top style="thin">
        <x:color rgb="FFD4DFEB"/>
      </x:top>
      <x:bottom style="thin">
        <x:color rgb="FFD4DFEB"/>
      </x:bottom>
    </x:border>
    <x:border>
      <x:left style="thin">
        <x:color rgb="FFD4DFEB"/>
      </x:left>
      <x:right style="thin">
        <x:color rgb="FFD4DFEB"/>
      </x:right>
      <x:top style="thin">
        <x:color rgb="FFD4DFEB"/>
      </x:top>
      <x:bottom style="thin">
        <x:color rgb="FFD4DFEB"/>
      </x:bottom>
    </x:border>
    <x:border>
      <x:left style="thin">
        <x:color rgb="FFD4DFEB"/>
      </x:left>
      <x:top style="thin">
        <x:color rgb="FFD4DFEB"/>
      </x:top>
      <x:bottom style="thin">
        <x:color rgb="FFD4DFEB"/>
      </x:bottom>
    </x:border>
    <x:border>
      <x:right style="thin">
        <x:color rgb="FFD4DFEB"/>
      </x:right>
      <x:top style="thin">
        <x:color rgb="FFD4DFEB"/>
      </x:top>
    </x:border>
    <x:border>
      <x:left style="thin">
        <x:color rgb="FFD4DFEB"/>
      </x:left>
      <x:right style="thin">
        <x:color rgb="FFD4DFEB"/>
      </x:right>
      <x:top style="thin">
        <x:color rgb="FFD4DFEB"/>
      </x:top>
    </x:border>
    <x:border>
      <x:left style="thin">
        <x:color rgb="FFD4DFEB"/>
      </x:left>
      <x:top style="thin">
        <x:color rgb="FFD4DFEB"/>
      </x:top>
    </x:border>
    <x:border>
      <x:left style="medium">
        <x:color rgb="FF315A8A"/>
      </x:left>
      <x:top style="medium">
        <x:color rgb="FF315A8A"/>
      </x:top>
      <x:bottom style="medium">
        <x:color rgb="FF315A8A"/>
      </x:bottom>
    </x:border>
    <x:border>
      <x:right style="medium">
        <x:color rgb="FF315A8A"/>
      </x:right>
      <x:top style="medium">
        <x:color rgb="FF315A8A"/>
      </x:top>
      <x:bottom style="medium">
        <x:color rgb="FF315A8A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5" borderId="0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200" fontId="0" fillId="5" borderId="10" xfId="0" applyNumberFormat="1" applyFont="1" applyFill="1" applyBorder="1"/>
    <x:xf numFmtId="200" fontId="0" fillId="5" borderId="11" xfId="0" applyNumberFormat="1" applyFont="1" applyFill="1" applyBorder="1"/>
    <x:xf numFmtId="200" fontId="0" fillId="5" borderId="12" xfId="0" applyNumberFormat="1" applyFont="1" applyFill="1" applyBorder="1"/>
    <x:xf numFmtId="200" fontId="0" fillId="5" borderId="13" xfId="0" applyNumberFormat="1" applyFont="1" applyFill="1" applyBorder="1"/>
    <x:xf numFmtId="200" fontId="0" fillId="5" borderId="14" xfId="0" applyNumberFormat="1" applyFont="1" applyFill="1" applyBorder="1"/>
    <x:xf numFmtId="200" fontId="0" fillId="5" borderId="15" xfId="0" applyNumberFormat="1" applyFont="1" applyFill="1" applyBorder="1"/>
    <x:xf numFmtId="200" fontId="0" fillId="5" borderId="16" xfId="0" applyNumberFormat="1" applyFont="1" applyFill="1" applyBorder="1"/>
    <x:xf numFmtId="200" fontId="0" fillId="5" borderId="17" xfId="0" applyNumberFormat="1" applyFont="1" applyFill="1" applyBorder="1"/>
    <x:xf numFmtId="200" fontId="0" fillId="5" borderId="18" xfId="0" applyNumberFormat="1" applyFont="1" applyFill="1" applyBorder="1"/>
    <x:xf numFmtId="201" fontId="0" fillId="4" borderId="1" xfId="0" applyNumberFormat="1" applyFont="1" applyFill="1" applyBorder="1"/>
    <x:xf numFmtId="201" fontId="0" fillId="4" borderId="4" xfId="0" applyNumberFormat="1" applyFont="1" applyFill="1" applyBorder="1"/>
    <x:xf numFmtId="201" fontId="0" fillId="4" borderId="7" xfId="0" applyNumberFormat="1" applyFont="1" applyFill="1" applyBorder="1"/>
    <x:xf numFmtId="201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200" fontId="0" fillId="5" borderId="10" xfId="0" applyNumberFormat="1" applyFont="1" applyFill="1" applyBorder="1" applyAlignment="1">
      <x:alignment wrapText="1"/>
    </x:xf>
    <x:xf numFmtId="200" fontId="0" fillId="5" borderId="11" xfId="0" applyNumberFormat="1" applyFont="1" applyFill="1" applyBorder="1" applyAlignment="1">
      <x:alignment wrapText="1"/>
    </x:xf>
    <x:xf numFmtId="200" fontId="0" fillId="5" borderId="12" xfId="0" applyNumberFormat="1" applyFont="1" applyFill="1" applyBorder="1" applyAlignment="1">
      <x:alignment wrapText="1"/>
    </x:xf>
    <x:xf numFmtId="201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200" fontId="0" fillId="5" borderId="13" xfId="0" applyNumberFormat="1" applyFont="1" applyFill="1" applyBorder="1" applyAlignment="1">
      <x:alignment wrapText="1"/>
    </x:xf>
    <x:xf numFmtId="200" fontId="0" fillId="5" borderId="14" xfId="0" applyNumberFormat="1" applyFont="1" applyFill="1" applyBorder="1" applyAlignment="1">
      <x:alignment wrapText="1"/>
    </x:xf>
    <x:xf numFmtId="200" fontId="0" fillId="5" borderId="15" xfId="0" applyNumberFormat="1" applyFont="1" applyFill="1" applyBorder="1" applyAlignment="1">
      <x:alignment wrapText="1"/>
    </x:xf>
    <x:xf numFmtId="201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200" fontId="0" fillId="5" borderId="16" xfId="0" applyNumberFormat="1" applyFont="1" applyFill="1" applyBorder="1" applyAlignment="1">
      <x:alignment wrapText="1"/>
    </x:xf>
    <x:xf numFmtId="200" fontId="0" fillId="5" borderId="17" xfId="0" applyNumberFormat="1" applyFont="1" applyFill="1" applyBorder="1" applyAlignment="1">
      <x:alignment wrapText="1"/>
    </x:xf>
    <x:xf numFmtId="200" fontId="0" fillId="5" borderId="18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201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200" fontId="6" fillId="5" borderId="10" xfId="0" applyNumberFormat="1" applyFont="1" applyFill="1" applyBorder="1" applyAlignment="1">
      <x:alignment wrapText="1"/>
    </x:xf>
    <x:xf numFmtId="200" fontId="6" fillId="5" borderId="11" xfId="0" applyNumberFormat="1" applyFont="1" applyFill="1" applyBorder="1" applyAlignment="1">
      <x:alignment wrapText="1"/>
    </x:xf>
    <x:xf numFmtId="200" fontId="6" fillId="5" borderId="12" xfId="0" applyNumberFormat="1" applyFont="1" applyFill="1" applyBorder="1" applyAlignment="1">
      <x:alignment wrapText="1"/>
    </x:xf>
    <x:xf numFmtId="201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200" fontId="6" fillId="5" borderId="13" xfId="0" applyNumberFormat="1" applyFont="1" applyFill="1" applyBorder="1" applyAlignment="1">
      <x:alignment wrapText="1"/>
    </x:xf>
    <x:xf numFmtId="200" fontId="6" fillId="5" borderId="14" xfId="0" applyNumberFormat="1" applyFont="1" applyFill="1" applyBorder="1" applyAlignment="1">
      <x:alignment wrapText="1"/>
    </x:xf>
    <x:xf numFmtId="200" fontId="6" fillId="5" borderId="15" xfId="0" applyNumberFormat="1" applyFont="1" applyFill="1" applyBorder="1" applyAlignment="1">
      <x:alignment wrapText="1"/>
    </x:xf>
    <x:xf numFmtId="201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200" fontId="6" fillId="5" borderId="16" xfId="0" applyNumberFormat="1" applyFont="1" applyFill="1" applyBorder="1" applyAlignment="1">
      <x:alignment wrapText="1"/>
    </x:xf>
    <x:xf numFmtId="200" fontId="6" fillId="5" borderId="17" xfId="0" applyNumberFormat="1" applyFont="1" applyFill="1" applyBorder="1" applyAlignment="1">
      <x:alignment wrapText="1"/>
    </x:xf>
    <x:xf numFmtId="200" fontId="6" fillId="5" borderId="18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200" fontId="0" fillId="0" borderId="23" xfId="0" applyNumberFormat="1" applyFont="1" applyFill="1" applyBorder="1"/>
    <x:xf numFmtId="200" fontId="0" fillId="0" borderId="26" xfId="0" applyNumberFormat="1" applyFont="1" applyFill="1" applyBorder="1"/>
    <x:xf numFmtId="0" fontId="9" fillId="5" borderId="0" xfId="0" applyNumberFormat="1" applyFont="1" applyFill="1" applyBorder="1"/>
    <x:xf numFmtId="0" fontId="9" fillId="5" borderId="28" xfId="0" applyNumberFormat="1" applyFont="1" applyFill="1" applyBorder="1"/>
    <x:xf numFmtId="0" fontId="9" fillId="5" borderId="29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0" fontId="10" fillId="2" borderId="0" xfId="0" applyNumberFormat="1" applyFont="1" applyFill="1" applyBorder="1"/>
    <x:xf numFmtId="0" fontId="11" fillId="0" borderId="19" xfId="0" applyNumberFormat="1" applyFont="1" applyFill="1" applyBorder="1"/>
    <x:xf numFmtId="0" fontId="11" fillId="0" borderId="20" xfId="0" applyNumberFormat="1" applyFont="1" applyFill="1" applyBorder="1"/>
    <x:xf numFmtId="0" fontId="11" fillId="0" borderId="21" xfId="0" applyNumberFormat="1" applyFont="1" applyFill="1" applyBorder="1"/>
    <x:xf numFmtId="0" fontId="12" fillId="5" borderId="28" xfId="0" applyNumberFormat="1" applyFont="1" applyFill="1" applyBorder="1"/>
    <x:xf numFmtId="0" fontId="12" fillId="5" borderId="29" xfId="0" applyNumberFormat="1" applyFont="1" applyFill="1" applyBorder="1"/>
    <x:xf numFmtId="0" fontId="11" fillId="0" borderId="22" xfId="0" applyNumberFormat="1" applyFont="1" applyFill="1" applyBorder="1"/>
    <x:xf numFmtId="200" fontId="11" fillId="0" borderId="23" xfId="0" applyNumberFormat="1" applyFont="1" applyFill="1" applyBorder="1"/>
    <x:xf numFmtId="0" fontId="11" fillId="0" borderId="24" xfId="0" applyNumberFormat="1" applyFont="1" applyFill="1" applyBorder="1"/>
    <x:xf numFmtId="0" fontId="11" fillId="0" borderId="25" xfId="0" applyNumberFormat="1" applyFont="1" applyFill="1" applyBorder="1"/>
    <x:xf numFmtId="200" fontId="11" fillId="0" borderId="26" xfId="0" applyNumberFormat="1" applyFont="1" applyFill="1" applyBorder="1"/>
    <x:xf numFmtId="0" fontId="11" fillId="0" borderId="2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584fb1143477c" /><Relationship Type="http://schemas.openxmlformats.org/officeDocument/2006/relationships/theme" Target="/xl/theme/theme1.xml" Id="Rc2746a8bef4f4368" /><Relationship Type="http://schemas.openxmlformats.org/officeDocument/2006/relationships/sharedStrings" Target="/xl/sharedStrings.xml" Id="R40c5fa57fc484a02" /><Relationship Type="http://schemas.openxmlformats.org/officeDocument/2006/relationships/worksheet" Target="/xl/worksheets/sheet1.xml" Id="Rf3e5d65e311f412f" /><Relationship Type="http://schemas.openxmlformats.org/officeDocument/2006/relationships/worksheet" Target="/xl/worksheets/sheet2.xml" Id="R8a0a09c68b6e4c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28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 ht="30" customHeight="1">
      <x:c r="A1" s="60" t="str">
        <x:v>기록샘 교사 파일럿 익명 측정표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60"/>
    </x:row>
    <x:row r="2" ht="34" customHeight="1">
      <x:c r="A2" s="82" t="str">
        <x:v>학생 이름·학번·관찰 원문·생성 문장·로그인 이메일은 입력하지 않습니다. 노란색 열만 입력하면 파란색 열이 자동 계산됩니다.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  <x:c r="AA2" s="82"/>
      <x:c r="AB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  <x:c r="Q3" s="83"/>
      <x:c r="R3" s="83"/>
      <x:c r="S3" s="83"/>
      <x:c r="T3" s="83"/>
      <x:c r="U3" s="83"/>
      <x:c r="V3" s="83"/>
      <x:c r="W3" s="83"/>
      <x:c r="X3" s="83"/>
      <x:c r="Y3" s="83"/>
      <x:c r="Z3" s="83"/>
      <x:c r="AA3" s="83"/>
      <x:c r="AB3" s="83"/>
    </x:row>
    <x:row r="4" ht="42" customHeight="1">
      <x:c r="A4" s="63" t="str">
        <x:v>측정일</x:v>
      </x:c>
      <x:c r="B4" s="63" t="str">
        <x:v>교사 코드</x:v>
      </x:c>
      <x:c r="C4" s="63" t="str">
        <x:v>학급 코드</x:v>
      </x:c>
      <x:c r="D4" s="63" t="str">
        <x:v>학생 수</x:v>
      </x:c>
      <x:c r="E4" s="63" t="str">
        <x:v>과목 수</x:v>
      </x:c>
      <x:c r="F4" s="63" t="str">
        <x:v>측정 순서</x:v>
      </x:c>
      <x:c r="G4" s="63" t="str">
        <x:v>교과 수기(분)</x:v>
      </x:c>
      <x:c r="H4" s="63" t="str">
        <x:v>교과 기록샘(분)</x:v>
      </x:c>
      <x:c r="I4" s="63" t="str">
        <x:v>행특 수기(분)</x:v>
      </x:c>
      <x:c r="J4" s="63" t="str">
        <x:v>행특 기록샘(분)</x:v>
      </x:c>
      <x:c r="K4" s="63" t="str">
        <x:v>제외 시간(분)</x:v>
      </x:c>
      <x:c r="L4" s="63" t="str">
        <x:v>생성 대상</x:v>
      </x:c>
      <x:c r="M4" s="63" t="str">
        <x:v>수정 없이 사용</x:v>
      </x:c>
      <x:c r="N4" s="63" t="str">
        <x:v>수정 후 사용</x:v>
      </x:c>
      <x:c r="O4" s="63" t="str">
        <x:v>미사용</x:v>
      </x:c>
      <x:c r="P4" s="63" t="str">
        <x:v>수정 건수</x:v>
      </x:c>
      <x:c r="Q4" s="63" t="str">
        <x:v>재시도</x:v>
      </x:c>
      <x:c r="R4" s="63" t="str">
        <x:v>입력 밖 사실</x:v>
      </x:c>
      <x:c r="S4" s="63" t="str">
        <x:v>금지 내용</x:v>
      </x:c>
      <x:c r="T4" s="63" t="str">
        <x:v>만족도(1~5)</x:v>
      </x:c>
      <x:c r="U4" s="63" t="str">
        <x:v>재사용 의향</x:v>
      </x:c>
      <x:c r="V4" s="63" t="str">
        <x:v>개선 의견</x:v>
      </x:c>
      <x:c r="W4" s="63" t="str">
        <x:v>교과 단축률</x:v>
      </x:c>
      <x:c r="X4" s="63" t="str">
        <x:v>행특 단축률</x:v>
      </x:c>
      <x:c r="Y4" s="63" t="str">
        <x:v>전체 단축률</x:v>
      </x:c>
      <x:c r="Z4" s="63" t="str">
        <x:v>사용 가능률</x:v>
      </x:c>
      <x:c r="AA4" s="63" t="str">
        <x:v>입력 밖 사실률</x:v>
      </x:c>
      <x:c r="AB4" s="63" t="str">
        <x:v>금지 내용률</x:v>
      </x:c>
    </x:row>
    <x:row r="5">
      <x:c r="A5" s="64"/>
      <x:c r="B5" s="65"/>
      <x:c r="C5" s="65"/>
      <x:c r="D5" s="65"/>
      <x:c r="E5" s="65"/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6"/>
      <x:c r="W5" s="67" t="str">
        <x:f>IFERROR((G5-H5)/G5,"")</x:f>
      </x:c>
      <x:c r="X5" s="68" t="str">
        <x:f>IFERROR((I5-J5)/I5,"")</x:f>
      </x:c>
      <x:c r="Y5" s="68" t="str">
        <x:f>IFERROR(((G5+I5)-(H5+J5))/(G5+I5),"")</x:f>
      </x:c>
      <x:c r="Z5" s="68" t="str">
        <x:f>IFERROR((M5+N5)/L5,"")</x:f>
      </x:c>
      <x:c r="AA5" s="68" t="str">
        <x:f>IFERROR(R5/L5,"")</x:f>
      </x:c>
      <x:c r="AB5" s="69" t="str">
        <x:f>IFERROR(S5/L5,"")</x:f>
      </x:c>
    </x:row>
    <x:row r="6">
      <x:c r="A6" s="70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  <x:c r="U6" s="71"/>
      <x:c r="V6" s="72"/>
      <x:c r="W6" s="73" t="str">
        <x:f>IFERROR((G6-H6)/G6,"")</x:f>
      </x:c>
      <x:c r="X6" s="74" t="str">
        <x:f>IFERROR((I6-J6)/I6,"")</x:f>
      </x:c>
      <x:c r="Y6" s="74" t="str">
        <x:f>IFERROR(((G6+I6)-(H6+J6))/(G6+I6),"")</x:f>
      </x:c>
      <x:c r="Z6" s="74" t="str">
        <x:f>IFERROR((M6+N6)/L6,"")</x:f>
      </x:c>
      <x:c r="AA6" s="74" t="str">
        <x:f>IFERROR(R6/L6,"")</x:f>
      </x:c>
      <x:c r="AB6" s="75" t="str">
        <x:f>IFERROR(S6/L6,"")</x:f>
      </x:c>
    </x:row>
    <x:row r="7">
      <x:c r="A7" s="70"/>
      <x:c r="B7" s="71"/>
      <x:c r="C7" s="71"/>
      <x:c r="D7" s="71"/>
      <x:c r="E7" s="71"/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2"/>
      <x:c r="W7" s="73" t="str">
        <x:f>IFERROR((G7-H7)/G7,"")</x:f>
      </x:c>
      <x:c r="X7" s="74" t="str">
        <x:f>IFERROR((I7-J7)/I7,"")</x:f>
      </x:c>
      <x:c r="Y7" s="74" t="str">
        <x:f>IFERROR(((G7+I7)-(H7+J7))/(G7+I7),"")</x:f>
      </x:c>
      <x:c r="Z7" s="74" t="str">
        <x:f>IFERROR((M7+N7)/L7,"")</x:f>
      </x:c>
      <x:c r="AA7" s="74" t="str">
        <x:f>IFERROR(R7/L7,"")</x:f>
      </x:c>
      <x:c r="AB7" s="75" t="str">
        <x:f>IFERROR(S7/L7,"")</x:f>
      </x:c>
    </x:row>
    <x:row r="8">
      <x:c r="A8" s="70"/>
      <x:c r="B8" s="71"/>
      <x:c r="C8" s="71"/>
      <x:c r="D8" s="71"/>
      <x:c r="E8" s="71"/>
      <x:c r="F8" s="71"/>
      <x:c r="G8" s="71"/>
      <x:c r="H8" s="71"/>
      <x:c r="I8" s="71"/>
      <x:c r="J8" s="71"/>
      <x:c r="K8" s="71"/>
      <x:c r="L8" s="71"/>
      <x:c r="M8" s="71"/>
      <x:c r="N8" s="71"/>
      <x:c r="O8" s="71"/>
      <x:c r="P8" s="71"/>
      <x:c r="Q8" s="71"/>
      <x:c r="R8" s="71"/>
      <x:c r="S8" s="71"/>
      <x:c r="T8" s="71"/>
      <x:c r="U8" s="71"/>
      <x:c r="V8" s="72"/>
      <x:c r="W8" s="73" t="str">
        <x:f>IFERROR((G8-H8)/G8,"")</x:f>
      </x:c>
      <x:c r="X8" s="74" t="str">
        <x:f>IFERROR((I8-J8)/I8,"")</x:f>
      </x:c>
      <x:c r="Y8" s="74" t="str">
        <x:f>IFERROR(((G8+I8)-(H8+J8))/(G8+I8),"")</x:f>
      </x:c>
      <x:c r="Z8" s="74" t="str">
        <x:f>IFERROR((M8+N8)/L8,"")</x:f>
      </x:c>
      <x:c r="AA8" s="74" t="str">
        <x:f>IFERROR(R8/L8,"")</x:f>
      </x:c>
      <x:c r="AB8" s="75" t="str">
        <x:f>IFERROR(S8/L8,"")</x:f>
      </x:c>
    </x:row>
    <x:row r="9">
      <x:c r="A9" s="76"/>
      <x:c r="B9" s="77"/>
      <x:c r="C9" s="77"/>
      <x:c r="D9" s="77"/>
      <x:c r="E9" s="77"/>
      <x:c r="F9" s="77"/>
      <x:c r="G9" s="77"/>
      <x:c r="H9" s="77"/>
      <x:c r="I9" s="77"/>
      <x:c r="J9" s="77"/>
      <x:c r="K9" s="77"/>
      <x:c r="L9" s="77"/>
      <x:c r="M9" s="77"/>
      <x:c r="N9" s="77"/>
      <x:c r="O9" s="77"/>
      <x:c r="P9" s="77"/>
      <x:c r="Q9" s="77"/>
      <x:c r="R9" s="77"/>
      <x:c r="S9" s="77"/>
      <x:c r="T9" s="77"/>
      <x:c r="U9" s="77"/>
      <x:c r="V9" s="78"/>
      <x:c r="W9" s="79" t="str">
        <x:f>IFERROR((G9-H9)/G9,"")</x:f>
      </x:c>
      <x:c r="X9" s="80" t="str">
        <x:f>IFERROR((I9-J9)/I9,"")</x:f>
      </x:c>
      <x:c r="Y9" s="80" t="str">
        <x:f>IFERROR(((G9+I9)-(H9+J9))/(G9+I9),"")</x:f>
      </x:c>
      <x:c r="Z9" s="80" t="str">
        <x:f>IFERROR((M9+N9)/L9,"")</x:f>
      </x:c>
      <x:c r="AA9" s="80" t="str">
        <x:f>IFERROR(R9/L9,"")</x:f>
      </x:c>
      <x:c r="AB9" s="81" t="str">
        <x:f>IFERROR(S9/L9,"")</x:f>
      </x:c>
    </x:row>
  </x:sheetData>
  <x:mergeCells>
    <x:mergeCell ref="A1:AB1"/>
    <x:mergeCell ref="A2:AB2"/>
  </x:mergeCells>
  <x:dataValidations count="3">
    <x:dataValidation type="list" sqref="F5:F9">
      <x:formula1>"수기→기록샘,기록샘→수기"</x:formula1>
    </x:dataValidation>
    <x:dataValidation type="list" sqref="U5:U9">
      <x:formula1>"예,아니요"</x:formula1>
    </x:dataValidation>
    <x:dataValidation type="whole" operator="between" sqref="T5:T9">
      <x:formula1>1</x:formula1>
      <x:formula2>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98" t="str">
        <x:v>파일럿 집계 및 성공 판정</x:v>
      </x:c>
      <x:c r="B1" s="98"/>
      <x:c r="C1" s="98"/>
      <x:c r="D1" s="98"/>
      <x:c r="E1" s="98"/>
      <x:c r="F1" s="98"/>
    </x:row>
    <x:row r="2">
      <x:c r="A2" s="99"/>
      <x:c r="B2" s="99"/>
      <x:c r="C2" s="99"/>
      <x:c r="D2" s="99"/>
      <x:c r="E2" s="99"/>
      <x:c r="F2" s="99"/>
    </x:row>
    <x:row r="3">
      <x:c r="A3" s="100" t="str">
        <x:v>지표</x:v>
      </x:c>
      <x:c r="B3" s="100" t="str">
        <x:v>결과</x:v>
      </x:c>
      <x:c r="C3" s="100" t="str">
        <x:v>기준</x:v>
      </x:c>
      <x:c r="D3" s="99"/>
      <x:c r="E3" s="100" t="str">
        <x:v>종합 판정</x:v>
      </x:c>
      <x:c r="F3" s="100" t="str">
        <x:v>결과</x:v>
      </x:c>
    </x:row>
    <x:row r="4">
      <x:c r="A4" s="101" t="str">
        <x:v>완료 표본</x:v>
      </x:c>
      <x:c r="B4" s="102" t="n">
        <x:f>COUNTA('표본 입력'!B5:B9)</x:f>
        <x:v>0</x:v>
      </x:c>
      <x:c r="C4" s="103" t="str">
        <x:v>3개 이상</x:v>
      </x:c>
      <x:c r="D4" s="99"/>
      <x:c r="E4" s="104" t="str">
        <x:v>최종</x:v>
      </x:c>
      <x:c r="F4" s="105" t="str">
        <x:f>IF(B4&lt;3,"표본 부족",IF(AND(B5&gt;=50%,B6&gt;=50%,B7&gt;=50%,B8&gt;=80%,B9&lt;=3%,B10=0),"통과","보완 필요"))</x:f>
        <x:v>표본 부족</x:v>
      </x:c>
    </x:row>
    <x:row r="5">
      <x:c r="A5" s="106" t="str">
        <x:v>교과 단축률 중앙값</x:v>
      </x:c>
      <x:c r="B5" s="107" t="str">
        <x:f>IFERROR(MEDIAN('표본 입력'!W5:W9),"")</x:f>
      </x:c>
      <x:c r="C5" s="108" t="str">
        <x:v>50% 이상</x:v>
      </x:c>
      <x:c r="D5" s="99"/>
      <x:c r="E5" s="99"/>
      <x:c r="F5" s="99"/>
    </x:row>
    <x:row r="6">
      <x:c r="A6" s="106" t="str">
        <x:v>행특 단축률 중앙값</x:v>
      </x:c>
      <x:c r="B6" s="107" t="str">
        <x:f>IFERROR(MEDIAN('표본 입력'!X5:X9),"")</x:f>
      </x:c>
      <x:c r="C6" s="108" t="str">
        <x:v>50% 이상</x:v>
      </x:c>
      <x:c r="D6" s="99"/>
      <x:c r="E6" s="99"/>
      <x:c r="F6" s="99"/>
    </x:row>
    <x:row r="7">
      <x:c r="A7" s="106" t="str">
        <x:v>전체 단축률 중앙값</x:v>
      </x:c>
      <x:c r="B7" s="107" t="str">
        <x:f>IFERROR(MEDIAN('표본 입력'!Y5:Y9),"")</x:f>
      </x:c>
      <x:c r="C7" s="108" t="str">
        <x:v>50% 이상</x:v>
      </x:c>
      <x:c r="D7" s="99"/>
      <x:c r="E7" s="99"/>
      <x:c r="F7" s="99"/>
    </x:row>
    <x:row r="8">
      <x:c r="A8" s="106" t="str">
        <x:v>수정 후 사용 가능률</x:v>
      </x:c>
      <x:c r="B8" s="107" t="str">
        <x:f>IFERROR(SUM('표본 입력'!M5:N9)/SUM('표본 입력'!L5:L9),"")</x:f>
      </x:c>
      <x:c r="C8" s="108" t="str">
        <x:v>80% 이상</x:v>
      </x:c>
      <x:c r="D8" s="99"/>
      <x:c r="E8" s="99"/>
      <x:c r="F8" s="99"/>
    </x:row>
    <x:row r="9">
      <x:c r="A9" s="106" t="str">
        <x:v>입력 밖 사실 비율</x:v>
      </x:c>
      <x:c r="B9" s="107" t="str">
        <x:f>IFERROR(SUM('표본 입력'!R5:R9)/SUM('표본 입력'!L5:L9),"")</x:f>
      </x:c>
      <x:c r="C9" s="108" t="str">
        <x:v>3% 이하</x:v>
      </x:c>
      <x:c r="D9" s="99"/>
      <x:c r="E9" s="99"/>
      <x:c r="F9" s="99"/>
    </x:row>
    <x:row r="10">
      <x:c r="A10" s="109" t="str">
        <x:v>금지 내용 비율</x:v>
      </x:c>
      <x:c r="B10" s="110" t="str">
        <x:f>IFERROR(SUM('표본 입력'!S5:S9)/SUM('표본 입력'!L5:L9),"")</x:f>
      </x:c>
      <x:c r="C10" s="111" t="str">
        <x:v>0%</x:v>
      </x:c>
      <x:c r="D10" s="99"/>
      <x:c r="E10" s="99"/>
      <x:c r="F10" s="99"/>
    </x:row>
  </x:sheetData>
  <x:mergeCells>
    <x:mergeCell ref="A1:F1"/>
  </x:mergeCells>
  <x:pageMargins left="0.7" right="0.7" top="0.75" bottom="0.75" header="0.3" footer="0.3"/>
</x:worksheet>
</file>